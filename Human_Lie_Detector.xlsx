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TAGE\Documents\"/>
    </mc:Choice>
  </mc:AlternateContent>
  <xr:revisionPtr revIDLastSave="0" documentId="13_ncr:1_{97D1B32D-E347-4988-A1E2-3B4270650C53}" xr6:coauthVersionLast="47" xr6:coauthVersionMax="47" xr10:uidLastSave="{00000000-0000-0000-0000-000000000000}"/>
  <bookViews>
    <workbookView xWindow="-108" yWindow="-108" windowWidth="23256" windowHeight="12456" xr2:uid="{B45F1D42-248C-4520-BF43-1C021AA3F757}"/>
  </bookViews>
  <sheets>
    <sheet name="Input" sheetId="1" r:id="rId1"/>
    <sheet name="Calculation" sheetId="2" r:id="rId2"/>
    <sheet name="Dashboar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C19" i="4"/>
  <c r="C18" i="2"/>
  <c r="D18" i="2" s="1"/>
  <c r="C20" i="4" s="1"/>
  <c r="C11" i="2"/>
  <c r="C10" i="2"/>
  <c r="C9" i="2"/>
  <c r="C8" i="2"/>
  <c r="C7" i="2"/>
  <c r="C23" i="2" l="1"/>
  <c r="D23" i="2" s="1"/>
  <c r="C19" i="2"/>
  <c r="D19" i="2" s="1"/>
  <c r="C21" i="4" s="1"/>
  <c r="C17" i="2"/>
  <c r="D17" i="2" s="1"/>
  <c r="C27" i="2" l="1"/>
  <c r="C29" i="2"/>
  <c r="C5" i="4" l="1"/>
  <c r="C13" i="4"/>
  <c r="C28" i="2"/>
  <c r="C11" i="4" s="1"/>
  <c r="C12" i="4"/>
</calcChain>
</file>

<file path=xl/sharedStrings.xml><?xml version="1.0" encoding="utf-8"?>
<sst xmlns="http://schemas.openxmlformats.org/spreadsheetml/2006/main" count="47" uniqueCount="41">
  <si>
    <t>HUMAN LIE DETECTOR — RESPONSE INPUT FORM</t>
  </si>
  <si>
    <t>Please answer the following questions honestly</t>
  </si>
  <si>
    <t>#</t>
  </si>
  <si>
    <t>Question</t>
  </si>
  <si>
    <t>Your Answer</t>
  </si>
  <si>
    <t>What year did you graduate?</t>
  </si>
  <si>
    <t>What year did you start your first job?</t>
  </si>
  <si>
    <t>How many years of total work experience do you have?</t>
  </si>
  <si>
    <t>What is your current age?</t>
  </si>
  <si>
    <t>How many years have you lived in your current city?</t>
  </si>
  <si>
    <t>CALCULATION ENGINE — DO NOT EDIT MANUALLY</t>
  </si>
  <si>
    <t>STEP 1: Pulled Answers</t>
  </si>
  <si>
    <t>Value</t>
  </si>
  <si>
    <t>Graduation Year</t>
  </si>
  <si>
    <t>First Job Year</t>
  </si>
  <si>
    <t>Years of Experience</t>
  </si>
  <si>
    <t>Current Age</t>
  </si>
  <si>
    <t>Years in Current City</t>
  </si>
  <si>
    <t>STEP 2: Contradiction Checks</t>
  </si>
  <si>
    <t>Check</t>
  </si>
  <si>
    <t>Result (TRUE = Contradiction)</t>
  </si>
  <si>
    <t>Logic Explanation</t>
  </si>
  <si>
    <t>Check 1: Job before graduation</t>
  </si>
  <si>
    <t>Check 2: Experience math mismatch</t>
  </si>
  <si>
    <t>Check 3: Age vs. graduation feasibility</t>
  </si>
  <si>
    <t>STEP 3: Soft Confidence Signal</t>
  </si>
  <si>
    <t>Check 4: Years in city exceeds lifespan</t>
  </si>
  <si>
    <t>STEP 4: Final Scores</t>
  </si>
  <si>
    <t>Contradiction Score</t>
  </si>
  <si>
    <t>Consistency Score</t>
  </si>
  <si>
    <t>Confidence Score</t>
  </si>
  <si>
    <t>HUMAN LIE DETECTOR — RESULTS DASHBOARD</t>
  </si>
  <si>
    <t>Response Reliability:</t>
  </si>
  <si>
    <t>SCORE BREAKDOWN</t>
  </si>
  <si>
    <t>Metric</t>
  </si>
  <si>
    <t>CONTRADICTION DETAILS</t>
  </si>
  <si>
    <t>Finding</t>
  </si>
  <si>
    <t>Job timeline</t>
  </si>
  <si>
    <t>Experience math</t>
  </si>
  <si>
    <t>Age feasibility</t>
  </si>
  <si>
    <t>Years in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</si>
</sst>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&quot;%&quot;"/>
    <numFmt numFmtId="169" formatCode="\ 0&quot;%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8"/>
      <color rgb="FF66330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5" borderId="0" xfId="0" applyFont="1" applyFill="1"/>
    <xf numFmtId="0" fontId="2" fillId="2" borderId="0" xfId="0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0" xfId="0" applyFont="1"/>
    <xf numFmtId="0" fontId="5" fillId="9" borderId="0" xfId="0" applyFont="1" applyFill="1" applyAlignment="1">
      <alignment horizontal="center"/>
    </xf>
    <xf numFmtId="0" fontId="0" fillId="0" borderId="1" xfId="0" applyFont="1" applyBorder="1"/>
    <xf numFmtId="0" fontId="0" fillId="4" borderId="1" xfId="0" applyFont="1" applyFill="1" applyBorder="1" applyAlignment="1">
      <alignment horizontal="center"/>
    </xf>
    <xf numFmtId="0" fontId="0" fillId="9" borderId="0" xfId="0" applyFill="1"/>
    <xf numFmtId="168" fontId="3" fillId="6" borderId="1" xfId="0" applyNumberFormat="1" applyFont="1" applyFill="1" applyBorder="1" applyAlignment="1">
      <alignment horizontal="center"/>
    </xf>
    <xf numFmtId="0" fontId="0" fillId="9" borderId="0" xfId="0" applyFont="1" applyFill="1"/>
    <xf numFmtId="169" fontId="0" fillId="0" borderId="1" xfId="0" applyNumberFormat="1" applyFont="1" applyBorder="1"/>
    <xf numFmtId="0" fontId="6" fillId="7" borderId="1" xfId="0" applyFont="1" applyFill="1" applyBorder="1" applyAlignment="1">
      <alignment horizontal="center" vertical="center"/>
    </xf>
    <xf numFmtId="0" fontId="0" fillId="3" borderId="1" xfId="0" applyFont="1" applyFill="1" applyBorder="1"/>
  </cellXfs>
  <cellStyles count="1">
    <cellStyle name="Normal" xfId="0" builtinId="0"/>
  </cellStyles>
  <dxfs count="1">
    <dxf>
      <font>
        <color rgb="FF00660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663300"/>
      <color rgb="FFFFFF00"/>
      <color rgb="FF006600"/>
      <color rgb="FF800000"/>
      <color rgb="FFFF6699"/>
      <color rgb="FF996600"/>
      <color rgb="FFFF99FF"/>
      <color rgb="FFFFFF99"/>
      <color rgb="FF003DB8"/>
      <color rgb="FF3B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E52CE0-C621-4A8F-B749-05B55A366EF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8bd44bf-e506-4334-b16e-67b98501a49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4C86-DE6A-49C4-86BA-B0ACF5E3BD7C}">
  <dimension ref="B2:I12"/>
  <sheetViews>
    <sheetView tabSelected="1" zoomScale="140" zoomScaleNormal="140" workbookViewId="0">
      <selection activeCell="M21" sqref="M21"/>
    </sheetView>
  </sheetViews>
  <sheetFormatPr defaultRowHeight="14.4" x14ac:dyDescent="0.3"/>
  <cols>
    <col min="2" max="2" width="8.77734375" customWidth="1"/>
    <col min="3" max="3" width="49.109375" customWidth="1"/>
    <col min="4" max="4" width="15.88671875" customWidth="1"/>
  </cols>
  <sheetData>
    <row r="2" spans="2:9" ht="23.4" x14ac:dyDescent="0.45">
      <c r="B2" s="2" t="s">
        <v>0</v>
      </c>
      <c r="C2" s="2"/>
      <c r="D2" s="2"/>
    </row>
    <row r="3" spans="2:9" x14ac:dyDescent="0.3">
      <c r="B3" s="12"/>
      <c r="C3" s="12"/>
      <c r="D3" s="12"/>
    </row>
    <row r="4" spans="2:9" x14ac:dyDescent="0.3">
      <c r="B4" s="7" t="s">
        <v>1</v>
      </c>
      <c r="C4" s="7"/>
      <c r="D4" s="7"/>
    </row>
    <row r="5" spans="2:9" x14ac:dyDescent="0.3">
      <c r="B5" s="12"/>
      <c r="C5" s="12"/>
      <c r="D5" s="12"/>
    </row>
    <row r="6" spans="2:9" x14ac:dyDescent="0.3">
      <c r="B6" s="1" t="s">
        <v>2</v>
      </c>
      <c r="C6" s="1" t="s">
        <v>3</v>
      </c>
      <c r="D6" s="1" t="s">
        <v>4</v>
      </c>
    </row>
    <row r="7" spans="2:9" x14ac:dyDescent="0.3">
      <c r="B7" s="12"/>
      <c r="C7" s="12"/>
      <c r="D7" s="12"/>
    </row>
    <row r="8" spans="2:9" x14ac:dyDescent="0.3">
      <c r="B8" s="8">
        <v>1</v>
      </c>
      <c r="C8" s="8" t="s">
        <v>5</v>
      </c>
      <c r="D8" s="8">
        <v>2022</v>
      </c>
    </row>
    <row r="9" spans="2:9" x14ac:dyDescent="0.3">
      <c r="B9" s="8">
        <v>2</v>
      </c>
      <c r="C9" s="8" t="s">
        <v>6</v>
      </c>
      <c r="D9" s="8">
        <v>2018</v>
      </c>
      <c r="I9" s="6"/>
    </row>
    <row r="10" spans="2:9" x14ac:dyDescent="0.3">
      <c r="B10" s="8">
        <v>3</v>
      </c>
      <c r="C10" s="8" t="s">
        <v>7</v>
      </c>
      <c r="D10" s="8">
        <v>8</v>
      </c>
    </row>
    <row r="11" spans="2:9" x14ac:dyDescent="0.3">
      <c r="B11" s="8">
        <v>4</v>
      </c>
      <c r="C11" s="8" t="s">
        <v>8</v>
      </c>
      <c r="D11" s="8">
        <v>30</v>
      </c>
    </row>
    <row r="12" spans="2:9" x14ac:dyDescent="0.3">
      <c r="B12" s="8">
        <v>5</v>
      </c>
      <c r="C12" s="8" t="s">
        <v>9</v>
      </c>
      <c r="D12" s="8">
        <v>10</v>
      </c>
    </row>
  </sheetData>
  <mergeCells count="2">
    <mergeCell ref="B2:D2"/>
    <mergeCell ref="B4:D4"/>
  </mergeCells>
  <dataValidations count="4">
    <dataValidation type="whole" allowBlank="1" showInputMessage="1" showErrorMessage="1" errorTitle="Invalid Entry" error="Please enter a valid year (1950–2030)" promptTitle="Tip" prompt="Enter a number only" sqref="D9" xr:uid="{715CACF0-F505-4031-9BCD-0F81B57F4ACD}">
      <formula1>1950</formula1>
      <formula2>2030</formula2>
    </dataValidation>
    <dataValidation type="whole" allowBlank="1" showInputMessage="1" showErrorMessage="1" errorTitle="Invalid Entry" error="Enter a number between 0 and 100" promptTitle="Tip" prompt="Enter a number only" sqref="D11:D12" xr:uid="{ACD8A5A5-9BCC-49CC-86FB-7A01C4CC903C}">
      <formula1>0</formula1>
      <formula2>100</formula2>
    </dataValidation>
    <dataValidation type="whole" allowBlank="1" showInputMessage="1" showErrorMessage="1" errorTitle="Invalid Entry" error="Please enter a valid graduation year (1950–2030)" promptTitle="Tip" prompt="Enter a number only " sqref="D8" xr:uid="{F8996399-BE5F-4CE6-AD45-71CDFA003E47}">
      <formula1>1950</formula1>
      <formula2>2030</formula2>
    </dataValidation>
    <dataValidation type="whole" allowBlank="1" showInputMessage="1" showErrorMessage="1" errorTitle="Invalid" error="Enter a number between 0 and 100" promptTitle="Tip" prompt="Enter a number only" sqref="D10" xr:uid="{286D8C70-52B9-4728-A821-9683BE85B5E5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FEAD-C624-444D-996C-E9743329965E}">
  <dimension ref="B2:D29"/>
  <sheetViews>
    <sheetView zoomScale="90" zoomScaleNormal="90" workbookViewId="0">
      <selection activeCell="T32" sqref="T32"/>
    </sheetView>
  </sheetViews>
  <sheetFormatPr defaultRowHeight="14.4" x14ac:dyDescent="0.3"/>
  <cols>
    <col min="2" max="2" width="33.77734375" bestFit="1" customWidth="1"/>
    <col min="3" max="3" width="25.44140625" bestFit="1" customWidth="1"/>
    <col min="4" max="4" width="41.21875" bestFit="1" customWidth="1"/>
  </cols>
  <sheetData>
    <row r="2" spans="2:4" ht="23.4" x14ac:dyDescent="0.45">
      <c r="B2" s="2" t="s">
        <v>10</v>
      </c>
      <c r="C2" s="2"/>
      <c r="D2" s="2"/>
    </row>
    <row r="3" spans="2:4" x14ac:dyDescent="0.3">
      <c r="B3" s="12"/>
      <c r="C3" s="12"/>
      <c r="D3" s="12"/>
    </row>
    <row r="4" spans="2:4" x14ac:dyDescent="0.3">
      <c r="B4" s="3" t="s">
        <v>11</v>
      </c>
      <c r="C4" s="12"/>
      <c r="D4" s="12"/>
    </row>
    <row r="5" spans="2:4" x14ac:dyDescent="0.3">
      <c r="B5" s="12"/>
      <c r="C5" s="12"/>
      <c r="D5" s="12"/>
    </row>
    <row r="6" spans="2:4" x14ac:dyDescent="0.3">
      <c r="B6" s="9" t="s">
        <v>3</v>
      </c>
      <c r="C6" s="9" t="s">
        <v>12</v>
      </c>
      <c r="D6" s="12"/>
    </row>
    <row r="7" spans="2:4" x14ac:dyDescent="0.3">
      <c r="B7" s="15" t="s">
        <v>13</v>
      </c>
      <c r="C7" s="8">
        <f>Input!D8</f>
        <v>2022</v>
      </c>
      <c r="D7" s="12"/>
    </row>
    <row r="8" spans="2:4" x14ac:dyDescent="0.3">
      <c r="B8" s="15" t="s">
        <v>14</v>
      </c>
      <c r="C8" s="8">
        <f>Input!D9</f>
        <v>2018</v>
      </c>
      <c r="D8" s="12"/>
    </row>
    <row r="9" spans="2:4" x14ac:dyDescent="0.3">
      <c r="B9" s="15" t="s">
        <v>15</v>
      </c>
      <c r="C9" s="8">
        <f>Input!D10</f>
        <v>8</v>
      </c>
      <c r="D9" s="12"/>
    </row>
    <row r="10" spans="2:4" x14ac:dyDescent="0.3">
      <c r="B10" s="15" t="s">
        <v>16</v>
      </c>
      <c r="C10" s="8">
        <f>Input!D11</f>
        <v>30</v>
      </c>
      <c r="D10" s="12"/>
    </row>
    <row r="11" spans="2:4" x14ac:dyDescent="0.3">
      <c r="B11" s="15" t="s">
        <v>17</v>
      </c>
      <c r="C11" s="8">
        <f>Input!D12</f>
        <v>10</v>
      </c>
      <c r="D11" s="12"/>
    </row>
    <row r="12" spans="2:4" x14ac:dyDescent="0.3">
      <c r="B12" s="12"/>
      <c r="C12" s="12"/>
      <c r="D12" s="12"/>
    </row>
    <row r="13" spans="2:4" x14ac:dyDescent="0.3">
      <c r="B13" s="12"/>
      <c r="C13" s="12"/>
      <c r="D13" s="12"/>
    </row>
    <row r="14" spans="2:4" x14ac:dyDescent="0.3">
      <c r="B14" s="3" t="s">
        <v>18</v>
      </c>
      <c r="C14" s="12"/>
      <c r="D14" s="12"/>
    </row>
    <row r="15" spans="2:4" x14ac:dyDescent="0.3">
      <c r="B15" s="12"/>
      <c r="C15" s="12"/>
      <c r="D15" s="12"/>
    </row>
    <row r="16" spans="2:4" x14ac:dyDescent="0.3">
      <c r="B16" s="9" t="s">
        <v>19</v>
      </c>
      <c r="C16" s="9" t="s">
        <v>20</v>
      </c>
      <c r="D16" s="9" t="s">
        <v>21</v>
      </c>
    </row>
    <row r="17" spans="2:4" x14ac:dyDescent="0.3">
      <c r="B17" s="15" t="s">
        <v>22</v>
      </c>
      <c r="C17" s="8" t="b">
        <f>C8&lt;C7</f>
        <v>1</v>
      </c>
      <c r="D17" s="8" t="str">
        <f>IF(C17=TRUE,"First job year is before graduation year","No conflict")</f>
        <v>First job year is before graduation year</v>
      </c>
    </row>
    <row r="18" spans="2:4" x14ac:dyDescent="0.3">
      <c r="B18" s="15" t="s">
        <v>23</v>
      </c>
      <c r="C18" s="8" t="b">
        <f ca="1">ABS((YEAR(TODAY())-C8)-C9)&gt;1</f>
        <v>0</v>
      </c>
      <c r="D18" s="8" t="str">
        <f ca="1">IF(C18=TRUE,"Claimed experience doesn't match job start year","No conflict")</f>
        <v>No conflict</v>
      </c>
    </row>
    <row r="19" spans="2:4" x14ac:dyDescent="0.3">
      <c r="B19" s="15" t="s">
        <v>24</v>
      </c>
      <c r="C19" s="8" t="b">
        <f ca="1">(C10-(YEAR(TODAY())-C7))&lt;18</f>
        <v>0</v>
      </c>
      <c r="D19" s="8" t="str">
        <f ca="1">IF(C19=TRUE,"Age at graduation is unrealistically young","No conflict")</f>
        <v>No conflict</v>
      </c>
    </row>
    <row r="20" spans="2:4" x14ac:dyDescent="0.3">
      <c r="B20" s="12"/>
      <c r="C20" s="12"/>
      <c r="D20" s="12"/>
    </row>
    <row r="21" spans="2:4" x14ac:dyDescent="0.3">
      <c r="B21" s="3" t="s">
        <v>25</v>
      </c>
      <c r="C21" s="12"/>
      <c r="D21" s="12"/>
    </row>
    <row r="22" spans="2:4" x14ac:dyDescent="0.3">
      <c r="B22" s="12"/>
      <c r="C22" s="12"/>
      <c r="D22" s="12"/>
    </row>
    <row r="23" spans="2:4" x14ac:dyDescent="0.3">
      <c r="B23" s="15" t="s">
        <v>26</v>
      </c>
      <c r="C23" s="8" t="b">
        <f>C11&gt;C10</f>
        <v>0</v>
      </c>
      <c r="D23" s="8" t="str">
        <f>IF(C23=TRUE,"Years in city exceeds current age — impossible","Plausible")</f>
        <v>Plausible</v>
      </c>
    </row>
    <row r="24" spans="2:4" x14ac:dyDescent="0.3">
      <c r="B24" s="12"/>
      <c r="C24" s="12"/>
      <c r="D24" s="12"/>
    </row>
    <row r="25" spans="2:4" x14ac:dyDescent="0.3">
      <c r="B25" s="3" t="s">
        <v>27</v>
      </c>
      <c r="C25" s="12"/>
      <c r="D25" s="12"/>
    </row>
    <row r="26" spans="2:4" x14ac:dyDescent="0.3">
      <c r="B26" s="12"/>
      <c r="C26" s="12"/>
      <c r="D26" s="12"/>
    </row>
    <row r="27" spans="2:4" x14ac:dyDescent="0.3">
      <c r="B27" s="15" t="s">
        <v>28</v>
      </c>
      <c r="C27" s="8">
        <f ca="1">(COUNTIF(C17:C19,TRUE)/3)*100</f>
        <v>33.333333333333329</v>
      </c>
      <c r="D27" s="12"/>
    </row>
    <row r="28" spans="2:4" x14ac:dyDescent="0.3">
      <c r="B28" s="15" t="s">
        <v>29</v>
      </c>
      <c r="C28" s="8">
        <f ca="1">100-C27</f>
        <v>66.666666666666671</v>
      </c>
      <c r="D28" s="12"/>
    </row>
    <row r="29" spans="2:4" x14ac:dyDescent="0.3">
      <c r="B29" s="15" t="s">
        <v>30</v>
      </c>
      <c r="C29" s="8">
        <f ca="1">((3-COUNTIF(C17:C19,TRUE))/3*80) + ((1-COUNTIF(C23,TRUE))/1*20)</f>
        <v>73.333333333333329</v>
      </c>
      <c r="D29" s="12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06BC-B8D3-4486-AD88-148C4BA7DDBD}">
  <dimension ref="B2:E22"/>
  <sheetViews>
    <sheetView zoomScale="110" zoomScaleNormal="110" workbookViewId="0">
      <selection activeCell="Z32" sqref="Z32"/>
    </sheetView>
  </sheetViews>
  <sheetFormatPr defaultRowHeight="14.4" x14ac:dyDescent="0.3"/>
  <cols>
    <col min="2" max="2" width="23" bestFit="1" customWidth="1"/>
    <col min="3" max="3" width="32.6640625" bestFit="1" customWidth="1"/>
    <col min="4" max="5" width="8.88671875" customWidth="1"/>
  </cols>
  <sheetData>
    <row r="2" spans="2:5" ht="23.4" x14ac:dyDescent="0.45">
      <c r="B2" s="2" t="s">
        <v>31</v>
      </c>
      <c r="C2" s="2"/>
      <c r="D2" s="2"/>
      <c r="E2" s="2"/>
    </row>
    <row r="3" spans="2:5" x14ac:dyDescent="0.3">
      <c r="B3" s="12"/>
      <c r="C3" s="12"/>
      <c r="D3" s="12"/>
      <c r="E3" s="12"/>
    </row>
    <row r="4" spans="2:5" x14ac:dyDescent="0.3">
      <c r="B4" s="12"/>
      <c r="C4" s="12"/>
      <c r="D4" s="12"/>
      <c r="E4" s="12"/>
    </row>
    <row r="5" spans="2:5" ht="36.6" x14ac:dyDescent="0.7">
      <c r="B5" s="14" t="s">
        <v>32</v>
      </c>
      <c r="C5" s="11">
        <f ca="1">ROUND(Calculation!C29,0)</f>
        <v>73</v>
      </c>
      <c r="D5" s="12"/>
      <c r="E5" s="12"/>
    </row>
    <row r="6" spans="2:5" x14ac:dyDescent="0.3">
      <c r="B6" s="12"/>
      <c r="C6" s="12"/>
      <c r="D6" s="12"/>
      <c r="E6" s="12"/>
    </row>
    <row r="7" spans="2:5" x14ac:dyDescent="0.3">
      <c r="B7" s="12"/>
      <c r="C7" s="12"/>
      <c r="D7" s="12"/>
      <c r="E7" s="12"/>
    </row>
    <row r="8" spans="2:5" x14ac:dyDescent="0.3">
      <c r="B8" s="4" t="s">
        <v>33</v>
      </c>
      <c r="C8" s="12"/>
      <c r="D8" s="12"/>
      <c r="E8" s="12"/>
    </row>
    <row r="9" spans="2:5" x14ac:dyDescent="0.3">
      <c r="B9" s="12"/>
      <c r="C9" s="12"/>
      <c r="D9" s="12"/>
      <c r="E9" s="12"/>
    </row>
    <row r="10" spans="2:5" x14ac:dyDescent="0.3">
      <c r="B10" s="5" t="s">
        <v>34</v>
      </c>
      <c r="C10" s="5" t="s">
        <v>12</v>
      </c>
      <c r="D10" s="12"/>
      <c r="E10" s="12"/>
    </row>
    <row r="11" spans="2:5" x14ac:dyDescent="0.3">
      <c r="B11" s="8" t="s">
        <v>29</v>
      </c>
      <c r="C11" s="13">
        <f ca="1">ROUND(Calculation!C28,0)</f>
        <v>67</v>
      </c>
      <c r="D11" s="12"/>
      <c r="E11" s="12"/>
    </row>
    <row r="12" spans="2:5" x14ac:dyDescent="0.3">
      <c r="B12" s="8" t="s">
        <v>28</v>
      </c>
      <c r="C12" s="13">
        <f ca="1">ROUND(Calculation!C27,0)</f>
        <v>33</v>
      </c>
      <c r="D12" s="12"/>
      <c r="E12" s="12"/>
    </row>
    <row r="13" spans="2:5" x14ac:dyDescent="0.3">
      <c r="B13" s="8" t="s">
        <v>30</v>
      </c>
      <c r="C13" s="13">
        <f ca="1">ROUND(Calculation!C29,0)</f>
        <v>73</v>
      </c>
      <c r="D13" s="12"/>
      <c r="E13" s="12"/>
    </row>
    <row r="14" spans="2:5" x14ac:dyDescent="0.3">
      <c r="B14" s="12"/>
      <c r="C14" s="12"/>
      <c r="D14" s="12"/>
      <c r="E14" s="12"/>
    </row>
    <row r="15" spans="2:5" x14ac:dyDescent="0.3">
      <c r="B15" s="12"/>
      <c r="C15" s="12"/>
      <c r="D15" s="12"/>
      <c r="E15" s="12"/>
    </row>
    <row r="16" spans="2:5" x14ac:dyDescent="0.3">
      <c r="B16" s="3" t="s">
        <v>35</v>
      </c>
      <c r="C16" s="12"/>
      <c r="D16" s="12"/>
      <c r="E16" s="12"/>
    </row>
    <row r="17" spans="2:5" x14ac:dyDescent="0.3">
      <c r="B17" s="12"/>
      <c r="C17" s="12"/>
      <c r="D17" s="12"/>
      <c r="E17" s="12"/>
    </row>
    <row r="18" spans="2:5" x14ac:dyDescent="0.3">
      <c r="B18" s="5" t="s">
        <v>19</v>
      </c>
      <c r="C18" s="5" t="s">
        <v>36</v>
      </c>
      <c r="D18" s="12"/>
      <c r="E18" s="12"/>
    </row>
    <row r="19" spans="2:5" x14ac:dyDescent="0.3">
      <c r="B19" s="8" t="s">
        <v>37</v>
      </c>
      <c r="C19" s="8" t="str">
        <f>Calculation!D17</f>
        <v>First job year is before graduation year</v>
      </c>
      <c r="D19" s="12"/>
      <c r="E19" s="12"/>
    </row>
    <row r="20" spans="2:5" x14ac:dyDescent="0.3">
      <c r="B20" s="8" t="s">
        <v>38</v>
      </c>
      <c r="C20" s="8" t="str">
        <f ca="1">Calculation!D18</f>
        <v>No conflict</v>
      </c>
      <c r="D20" s="12"/>
      <c r="E20" s="12"/>
    </row>
    <row r="21" spans="2:5" x14ac:dyDescent="0.3">
      <c r="B21" s="8" t="s">
        <v>39</v>
      </c>
      <c r="C21" s="8" t="str">
        <f ca="1">Calculation!D19</f>
        <v>No conflict</v>
      </c>
      <c r="D21" s="12"/>
      <c r="E21" s="12"/>
    </row>
    <row r="22" spans="2:5" x14ac:dyDescent="0.3">
      <c r="B22" s="8" t="s">
        <v>40</v>
      </c>
      <c r="C22" s="8" t="str">
        <f>Calculation!D23</f>
        <v>Plausible</v>
      </c>
      <c r="D22" s="10"/>
      <c r="E22" s="10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Calculation</vt:lpstr>
      <vt:lpstr>Dashboard</vt:lpstr>
    </vt:vector>
  </TitlesOfParts>
  <Company>VINTAGE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Vintage Systems</dc:creator>
  <cp:lastModifiedBy>Vintage Systems</cp:lastModifiedBy>
  <dcterms:created xsi:type="dcterms:W3CDTF">2026-06-24T18:08:56Z</dcterms:created>
  <dcterms:modified xsi:type="dcterms:W3CDTF">2026-06-25T19:16:50Z</dcterms:modified>
</cp:coreProperties>
</file>